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EFA0150-AD36-4A6E-A0A7-6681FB5E01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еория" sheetId="1" r:id="rId1"/>
    <sheet name="Расчет по неравнозначным A_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2" l="1"/>
  <c r="D24" i="2"/>
  <c r="D20" i="2"/>
  <c r="D21" i="2"/>
  <c r="D17" i="2"/>
  <c r="D16" i="2"/>
  <c r="D15" i="2"/>
  <c r="D12" i="2"/>
  <c r="D11" i="2"/>
  <c r="D10" i="2"/>
  <c r="J3" i="2"/>
  <c r="J2" i="2"/>
  <c r="M3" i="2"/>
  <c r="M2" i="2"/>
  <c r="L3" i="2"/>
  <c r="K3" i="2"/>
  <c r="I3" i="2"/>
  <c r="K2" i="2"/>
  <c r="L2" i="2"/>
  <c r="I2" i="2"/>
  <c r="D3" i="2"/>
  <c r="D2" i="2"/>
  <c r="N3" i="2" l="1"/>
  <c r="N2" i="2"/>
</calcChain>
</file>

<file path=xl/sharedStrings.xml><?xml version="1.0" encoding="utf-8"?>
<sst xmlns="http://schemas.openxmlformats.org/spreadsheetml/2006/main" count="50" uniqueCount="50">
  <si>
    <t>Акция прямой скидки направлена на один бренд внутри категории "игрушки"</t>
  </si>
  <si>
    <t>Длительность = 1 неделя</t>
  </si>
  <si>
    <t>Рассылка</t>
  </si>
  <si>
    <t>Контроль</t>
  </si>
  <si>
    <t>Кол-во клиентов в группе</t>
  </si>
  <si>
    <t>кол-во клиентов осуществлявших транзакции</t>
  </si>
  <si>
    <t>Признак группы</t>
  </si>
  <si>
    <t>кол-во чеков</t>
  </si>
  <si>
    <t>ТО (ШТ)</t>
  </si>
  <si>
    <t>ТО (ЗЦ)</t>
  </si>
  <si>
    <t>Маржа</t>
  </si>
  <si>
    <t>ТО (ФЦ)</t>
  </si>
  <si>
    <t>Товарооборот в штуках</t>
  </si>
  <si>
    <t>Товарооборот в фактических ценах</t>
  </si>
  <si>
    <t>Товарооборот в закупочных ценах</t>
  </si>
  <si>
    <t>ТО (ШТ):</t>
  </si>
  <si>
    <t>ТО (ФЦ):</t>
  </si>
  <si>
    <t>ТО (ЗЦ):</t>
  </si>
  <si>
    <t>Подведите итог (расчитайте uplift от рассылки); рассчитайте ROMI</t>
  </si>
  <si>
    <t>Комплексность</t>
  </si>
  <si>
    <t>Отклик</t>
  </si>
  <si>
    <t>Затраты на рассылку:</t>
  </si>
  <si>
    <t>Средний чек</t>
  </si>
  <si>
    <t>Ср. кол-во чеков на клиента</t>
  </si>
  <si>
    <t>Ср. стоимость проданной единицы (ФЦ)</t>
  </si>
  <si>
    <t>Ср. стоимость проданной единицы (ЗЦ)</t>
  </si>
  <si>
    <t>Акция является открытой и омниканальной</t>
  </si>
  <si>
    <t>Группы Рассылка и Контроль в предпериоде акции демонстрировали одинаковое поведение</t>
  </si>
  <si>
    <t>Предложите несколько методик анализа в следующей ситцуации (по возможности выделите приоритетную и обоснуйте свое мнение):</t>
  </si>
  <si>
    <t>Для оценки эффективности акции можно использовать 3 методики анализа, буду описывать в порядке приоритета.</t>
  </si>
  <si>
    <t>1. A/B тест - наиболее подходящий метод в данном случае. По условию, группы Рассылка и Контроль в предпериоде демонстрировали одинаковое поведение, что означает, что они сформированы корректно и сопоставимы между собой. Иначе, если бы предпериод был разным нельзя было бы утверждать, что эффект именно от рассылки, а не от начальных различий между группами. В данном случае любая разница в отклике, товарообороте и среднем чеке в период акции будет являться чистым эффектом от рассылки.</t>
  </si>
  <si>
    <t>3. Анализ до/после - сравниваем показатели группы Рассылка до начала акции и в период ее проведения, контрольная группа не участвует. Метод проще в реализации, но слабее первого метода, тк без контрольной группы невозможно отделить эффект от рассылки от внешних факторов. Например, если в период акции был сезонный рост продаж, непонятно, что дало результат, рассылка или сезонность.</t>
  </si>
  <si>
    <t>1. Коэффицент масштабирования</t>
  </si>
  <si>
    <t>Кол-во клиентов Рассылка</t>
  </si>
  <si>
    <t>Кол-во клиентов Контроль</t>
  </si>
  <si>
    <t>Коэффициент масштабирования</t>
  </si>
  <si>
    <t>2. Корректировка маржи Контроля</t>
  </si>
  <si>
    <t>Маржа Рассылка</t>
  </si>
  <si>
    <t>Маржа Контроль (факт.)</t>
  </si>
  <si>
    <t>Маржа Контроль (коррект. на размер группы)</t>
  </si>
  <si>
    <t>4. Расчет ROMI</t>
  </si>
  <si>
    <t>Затраты на рассылку</t>
  </si>
  <si>
    <t xml:space="preserve">Вывод: </t>
  </si>
  <si>
    <t>3. Расчет uplift</t>
  </si>
  <si>
    <t>uplift по марже, руб.</t>
  </si>
  <si>
    <t>uplift по отклику (рассылка - контроль)</t>
  </si>
  <si>
    <t>ROMI = (uplift по марже - Затраты) / Затраты × 100%</t>
  </si>
  <si>
    <t>Расчет uplift и ROMI</t>
  </si>
  <si>
    <r>
      <t xml:space="preserve">Рассылка окупилась. ROMI составил </t>
    </r>
    <r>
      <rPr>
        <b/>
        <sz val="11"/>
        <color theme="1"/>
        <rFont val="Times New Roman"/>
        <family val="1"/>
        <charset val="204"/>
      </rPr>
      <t>228%</t>
    </r>
    <r>
      <rPr>
        <sz val="11"/>
        <color theme="1"/>
        <rFont val="Times New Roman"/>
        <family val="1"/>
        <charset val="204"/>
      </rPr>
      <t>, каждый вложенный рубль принес</t>
    </r>
    <r>
      <rPr>
        <b/>
        <sz val="11"/>
        <color theme="1"/>
        <rFont val="Times New Roman"/>
        <family val="1"/>
        <charset val="204"/>
      </rPr>
      <t xml:space="preserve"> 2,28 рубля </t>
    </r>
    <r>
      <rPr>
        <sz val="11"/>
        <color theme="1"/>
        <rFont val="Times New Roman"/>
        <family val="1"/>
        <charset val="204"/>
      </rPr>
      <t>сверху.</t>
    </r>
  </si>
  <si>
    <t>2. DiD (метод разности разностей) - суть в том, чтобы проанализировать изменение метрик у обоих групп (рассылка и контроль) относительно предпериода и сравнить эти изменения между собой. То есть берем и тестовую, и контрольную группы, смотрим как изменилось поведение каждой из них до и после акции, а потом сравниваем результаты изменений. Был бы приоритетным, если предпериод к групп отличался. Но в данном случае группы в предпериоде вели себя одинаково, поэтому DiD избыточен.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</si>
</sst>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%"/>
    <numFmt numFmtId="166" formatCode="_-* #,##0.0\ _₽_-;\-* #,##0.0\ _₽_-;_-* &quot;-&quot;??\ _₽_-;_-@_-"/>
    <numFmt numFmtId="167" formatCode="_-* #,##0\ _₽_-;\-* #,##0\ _₽_-;_-* &quot;-&quot;??\ _₽_-;_-@_-"/>
    <numFmt numFmtId="168" formatCode="_-* #,##0.0_-;\-* #,##0.0_-;_-* &quot;-&quot;??_-;_-@_-"/>
    <numFmt numFmtId="169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top"/>
    </xf>
    <xf numFmtId="0" fontId="2" fillId="0" borderId="5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5" fillId="0" borderId="0" xfId="0" applyFont="1"/>
    <xf numFmtId="3" fontId="5" fillId="0" borderId="0" xfId="0" applyNumberFormat="1" applyFont="1"/>
    <xf numFmtId="0" fontId="0" fillId="0" borderId="0" xfId="0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5" fontId="2" fillId="2" borderId="7" xfId="2" applyNumberFormat="1" applyFont="1" applyFill="1" applyBorder="1" applyAlignment="1">
      <alignment vertical="top"/>
    </xf>
    <xf numFmtId="166" fontId="2" fillId="2" borderId="7" xfId="1" applyNumberFormat="1" applyFont="1" applyFill="1" applyBorder="1" applyAlignment="1">
      <alignment vertical="top"/>
    </xf>
    <xf numFmtId="165" fontId="0" fillId="0" borderId="0" xfId="0" applyNumberFormat="1"/>
    <xf numFmtId="166" fontId="0" fillId="0" borderId="0" xfId="1" applyNumberFormat="1" applyFont="1"/>
    <xf numFmtId="167" fontId="0" fillId="0" borderId="0" xfId="1" applyNumberFormat="1" applyFont="1"/>
    <xf numFmtId="167" fontId="2" fillId="2" borderId="7" xfId="1" applyNumberFormat="1" applyFont="1" applyFill="1" applyBorder="1" applyAlignment="1">
      <alignment vertical="top"/>
    </xf>
    <xf numFmtId="167" fontId="2" fillId="2" borderId="3" xfId="1" applyNumberFormat="1" applyFont="1" applyFill="1" applyBorder="1" applyAlignment="1">
      <alignment vertical="top"/>
    </xf>
    <xf numFmtId="167" fontId="2" fillId="2" borderId="1" xfId="1" applyNumberFormat="1" applyFont="1" applyFill="1" applyBorder="1" applyAlignment="1">
      <alignment vertical="top"/>
    </xf>
    <xf numFmtId="167" fontId="2" fillId="2" borderId="6" xfId="1" applyNumberFormat="1" applyFont="1" applyFill="1" applyBorder="1" applyAlignment="1">
      <alignment vertical="top"/>
    </xf>
    <xf numFmtId="167" fontId="2" fillId="2" borderId="5" xfId="1" applyNumberFormat="1" applyFont="1" applyFill="1" applyBorder="1" applyAlignment="1">
      <alignment vertical="top"/>
    </xf>
    <xf numFmtId="167" fontId="2" fillId="2" borderId="2" xfId="1" applyNumberFormat="1" applyFont="1" applyFill="1" applyBorder="1" applyAlignment="1">
      <alignment vertical="top"/>
    </xf>
    <xf numFmtId="167" fontId="2" fillId="2" borderId="8" xfId="1" applyNumberFormat="1" applyFont="1" applyFill="1" applyBorder="1" applyAlignment="1">
      <alignment vertical="top"/>
    </xf>
    <xf numFmtId="167" fontId="2" fillId="2" borderId="4" xfId="1" applyNumberFormat="1" applyFont="1" applyFill="1" applyBorder="1" applyAlignment="1">
      <alignment vertical="top"/>
    </xf>
    <xf numFmtId="166" fontId="0" fillId="0" borderId="0" xfId="0" applyNumberFormat="1"/>
    <xf numFmtId="0" fontId="2" fillId="0" borderId="9" xfId="0" applyFont="1" applyFill="1" applyBorder="1" applyAlignment="1">
      <alignment vertical="top"/>
    </xf>
    <xf numFmtId="165" fontId="0" fillId="0" borderId="0" xfId="2" applyNumberFormat="1" applyFont="1"/>
    <xf numFmtId="0" fontId="2" fillId="0" borderId="0" xfId="0" applyFont="1" applyFill="1" applyBorder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Fill="1" applyBorder="1" applyAlignment="1">
      <alignment vertical="top"/>
    </xf>
    <xf numFmtId="167" fontId="10" fillId="0" borderId="0" xfId="1" applyNumberFormat="1" applyFont="1" applyBorder="1"/>
    <xf numFmtId="167" fontId="10" fillId="0" borderId="0" xfId="1" applyNumberFormat="1" applyFont="1"/>
    <xf numFmtId="165" fontId="10" fillId="0" borderId="0" xfId="2" applyNumberFormat="1" applyFont="1"/>
    <xf numFmtId="0" fontId="10" fillId="0" borderId="0" xfId="0" applyFont="1"/>
    <xf numFmtId="165" fontId="2" fillId="0" borderId="0" xfId="2" applyNumberFormat="1" applyFont="1"/>
    <xf numFmtId="0" fontId="2" fillId="0" borderId="0" xfId="0" applyFont="1"/>
    <xf numFmtId="168" fontId="2" fillId="0" borderId="0" xfId="1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top"/>
    </xf>
    <xf numFmtId="0" fontId="8" fillId="3" borderId="0" xfId="0" applyFont="1" applyFill="1" applyAlignment="1">
      <alignment horizontal="left"/>
    </xf>
    <xf numFmtId="0" fontId="2" fillId="0" borderId="0" xfId="0" applyFont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8" fillId="0" borderId="9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I9" sqref="I9"/>
    </sheetView>
  </sheetViews>
  <sheetFormatPr defaultRowHeight="15" x14ac:dyDescent="0.25"/>
  <cols>
    <col min="1" max="1" width="45.7109375" customWidth="1"/>
    <col min="3" max="3" width="43" customWidth="1"/>
    <col min="5" max="5" width="41.5703125" customWidth="1"/>
  </cols>
  <sheetData>
    <row r="1" spans="1:6" x14ac:dyDescent="0.25">
      <c r="A1" s="1" t="s">
        <v>28</v>
      </c>
    </row>
    <row r="2" spans="1:6" x14ac:dyDescent="0.25">
      <c r="A2" t="s">
        <v>0</v>
      </c>
    </row>
    <row r="3" spans="1:6" x14ac:dyDescent="0.25">
      <c r="A3" t="s">
        <v>26</v>
      </c>
    </row>
    <row r="4" spans="1:6" x14ac:dyDescent="0.25">
      <c r="A4" t="s">
        <v>27</v>
      </c>
    </row>
    <row r="5" spans="1:6" x14ac:dyDescent="0.25">
      <c r="A5" t="s">
        <v>1</v>
      </c>
    </row>
    <row r="6" spans="1:6" x14ac:dyDescent="0.25">
      <c r="A6" s="33"/>
      <c r="B6" s="33"/>
      <c r="C6" s="33"/>
      <c r="D6" s="33"/>
      <c r="E6" s="33"/>
      <c r="F6" s="33"/>
    </row>
    <row r="7" spans="1:6" x14ac:dyDescent="0.25">
      <c r="A7" s="34" t="s">
        <v>29</v>
      </c>
      <c r="B7" s="33"/>
      <c r="C7" s="33"/>
      <c r="D7" s="33"/>
      <c r="E7" s="33"/>
      <c r="F7" s="33"/>
    </row>
    <row r="8" spans="1:6" x14ac:dyDescent="0.25">
      <c r="A8" s="33"/>
      <c r="B8" s="33"/>
      <c r="C8" s="33"/>
      <c r="D8" s="33"/>
      <c r="E8" s="33"/>
      <c r="F8" s="33"/>
    </row>
    <row r="9" spans="1:6" ht="177" customHeight="1" x14ac:dyDescent="0.25">
      <c r="A9" s="46" t="s">
        <v>30</v>
      </c>
      <c r="B9" s="44"/>
      <c r="C9" s="45" t="s">
        <v>49</v>
      </c>
      <c r="D9" s="44"/>
      <c r="E9" s="45" t="s">
        <v>31</v>
      </c>
      <c r="F9" s="33"/>
    </row>
    <row r="10" spans="1:6" x14ac:dyDescent="0.25">
      <c r="A10" s="47"/>
      <c r="B10" s="33"/>
      <c r="C10" s="33"/>
      <c r="D10" s="33"/>
      <c r="E10" s="33"/>
      <c r="F10" s="33"/>
    </row>
    <row r="11" spans="1:6" x14ac:dyDescent="0.25">
      <c r="A11" s="2"/>
    </row>
    <row r="13" spans="1:6" x14ac:dyDescent="0.25">
      <c r="A13" s="14"/>
    </row>
    <row r="17" spans="1:1" x14ac:dyDescent="0.25">
      <c r="A17" s="14"/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workbookViewId="0">
      <selection activeCell="G20" sqref="G20"/>
    </sheetView>
  </sheetViews>
  <sheetFormatPr defaultRowHeight="15" x14ac:dyDescent="0.25"/>
  <cols>
    <col min="1" max="1" width="16.28515625" customWidth="1"/>
    <col min="2" max="2" width="13.140625" customWidth="1"/>
    <col min="3" max="3" width="25.28515625" customWidth="1"/>
    <col min="4" max="4" width="16.140625" customWidth="1"/>
    <col min="5" max="5" width="13.7109375" bestFit="1" customWidth="1"/>
    <col min="6" max="6" width="13.140625" bestFit="1" customWidth="1"/>
    <col min="7" max="8" width="16.7109375" bestFit="1" customWidth="1"/>
    <col min="9" max="10" width="15.28515625" customWidth="1"/>
    <col min="11" max="11" width="15.5703125" customWidth="1"/>
    <col min="12" max="13" width="11.140625" customWidth="1"/>
    <col min="14" max="14" width="15.5703125" bestFit="1" customWidth="1"/>
    <col min="17" max="17" width="20.5703125" customWidth="1"/>
  </cols>
  <sheetData>
    <row r="1" spans="1:19" s="14" customFormat="1" ht="60.75" thickBot="1" x14ac:dyDescent="0.3">
      <c r="A1" s="8" t="s">
        <v>6</v>
      </c>
      <c r="B1" s="9" t="s">
        <v>4</v>
      </c>
      <c r="C1" s="10" t="s">
        <v>5</v>
      </c>
      <c r="D1" s="11" t="s">
        <v>20</v>
      </c>
      <c r="E1" s="12" t="s">
        <v>7</v>
      </c>
      <c r="F1" s="12" t="s">
        <v>8</v>
      </c>
      <c r="G1" s="12" t="s">
        <v>11</v>
      </c>
      <c r="H1" s="12" t="s">
        <v>9</v>
      </c>
      <c r="I1" s="12" t="s">
        <v>24</v>
      </c>
      <c r="J1" s="12" t="s">
        <v>25</v>
      </c>
      <c r="K1" s="12" t="s">
        <v>19</v>
      </c>
      <c r="L1" s="12" t="s">
        <v>22</v>
      </c>
      <c r="M1" s="12" t="s">
        <v>23</v>
      </c>
      <c r="N1" s="13" t="s">
        <v>10</v>
      </c>
      <c r="Q1" s="15" t="s">
        <v>18</v>
      </c>
    </row>
    <row r="2" spans="1:19" ht="15.75" thickBot="1" x14ac:dyDescent="0.3">
      <c r="A2" s="4" t="s">
        <v>2</v>
      </c>
      <c r="B2" s="23">
        <v>936902</v>
      </c>
      <c r="C2" s="24">
        <v>145048</v>
      </c>
      <c r="D2" s="16">
        <f>C2/B2</f>
        <v>0.15481661902739027</v>
      </c>
      <c r="E2" s="21">
        <v>192893</v>
      </c>
      <c r="F2" s="21">
        <v>713792</v>
      </c>
      <c r="G2" s="21">
        <v>267266446.980014</v>
      </c>
      <c r="H2" s="21">
        <v>203438953.95999801</v>
      </c>
      <c r="I2" s="21">
        <f>G2/F2</f>
        <v>374.43183305502725</v>
      </c>
      <c r="J2" s="21">
        <f>H2/F2</f>
        <v>285.01153551734683</v>
      </c>
      <c r="K2" s="17">
        <f>F2/E2</f>
        <v>3.7004556930526249</v>
      </c>
      <c r="L2" s="21">
        <f>G2/E2</f>
        <v>1385.5684082886055</v>
      </c>
      <c r="M2" s="17">
        <f>E2/C2</f>
        <v>1.32985632342397</v>
      </c>
      <c r="N2" s="27">
        <f>G2-H2</f>
        <v>63827493.020015985</v>
      </c>
      <c r="Q2" s="5" t="s">
        <v>21</v>
      </c>
      <c r="R2" s="6">
        <v>1000000</v>
      </c>
    </row>
    <row r="3" spans="1:19" ht="15.75" thickBot="1" x14ac:dyDescent="0.3">
      <c r="A3" s="3" t="s">
        <v>3</v>
      </c>
      <c r="B3" s="25">
        <v>353384</v>
      </c>
      <c r="C3" s="26">
        <v>52703</v>
      </c>
      <c r="D3" s="16">
        <f>C3/B3</f>
        <v>0.14913804812894754</v>
      </c>
      <c r="E3" s="22">
        <v>69857</v>
      </c>
      <c r="F3" s="22">
        <v>259313</v>
      </c>
      <c r="G3" s="22">
        <v>95960758.969999403</v>
      </c>
      <c r="H3" s="22">
        <v>73125106.180000499</v>
      </c>
      <c r="I3" s="21">
        <f>G3/F3</f>
        <v>370.05764836317269</v>
      </c>
      <c r="J3" s="21">
        <f>H3/F3</f>
        <v>281.99552733569277</v>
      </c>
      <c r="K3" s="17">
        <f>F3/E3</f>
        <v>3.7120546258785807</v>
      </c>
      <c r="L3" s="21">
        <f>G3/E3</f>
        <v>1373.6742054482643</v>
      </c>
      <c r="M3" s="17">
        <f>E3/C3</f>
        <v>1.3254843177807716</v>
      </c>
      <c r="N3" s="28">
        <f>G3-H3</f>
        <v>22835652.789998904</v>
      </c>
      <c r="R3" s="7" t="s">
        <v>15</v>
      </c>
      <c r="S3" t="s">
        <v>12</v>
      </c>
    </row>
    <row r="4" spans="1:19" x14ac:dyDescent="0.25">
      <c r="B4" s="20"/>
      <c r="C4" s="20"/>
      <c r="D4" s="18"/>
      <c r="E4" s="20"/>
      <c r="F4" s="20"/>
      <c r="G4" s="20"/>
      <c r="H4" s="20"/>
      <c r="I4" s="20"/>
      <c r="J4" s="20"/>
      <c r="K4" s="29"/>
      <c r="L4" s="20"/>
      <c r="M4" s="29"/>
      <c r="N4" s="20"/>
      <c r="R4" s="7" t="s">
        <v>16</v>
      </c>
      <c r="S4" t="s">
        <v>13</v>
      </c>
    </row>
    <row r="5" spans="1:19" x14ac:dyDescent="0.25">
      <c r="A5" s="30"/>
      <c r="B5" s="37"/>
      <c r="C5" s="38"/>
      <c r="D5" s="39"/>
      <c r="E5" s="38"/>
      <c r="F5" s="38"/>
      <c r="G5" s="20"/>
      <c r="H5" s="20"/>
      <c r="I5" s="20"/>
      <c r="J5" s="20"/>
      <c r="K5" s="19"/>
      <c r="L5" s="20"/>
      <c r="M5" s="19"/>
      <c r="N5" s="20"/>
      <c r="R5" s="7" t="s">
        <v>17</v>
      </c>
      <c r="S5" t="s">
        <v>14</v>
      </c>
    </row>
    <row r="6" spans="1:19" x14ac:dyDescent="0.25">
      <c r="A6" s="30"/>
      <c r="B6" s="32"/>
      <c r="C6" s="32"/>
      <c r="D6" s="41"/>
      <c r="E6" s="41"/>
      <c r="F6" s="39"/>
      <c r="G6" s="31"/>
      <c r="H6" s="31"/>
      <c r="I6" s="31"/>
      <c r="J6" s="31"/>
      <c r="K6" s="31"/>
      <c r="L6" s="31"/>
      <c r="M6" s="31"/>
      <c r="N6" s="31"/>
    </row>
    <row r="7" spans="1:19" x14ac:dyDescent="0.25">
      <c r="A7" s="54" t="s">
        <v>47</v>
      </c>
      <c r="B7" s="55"/>
      <c r="C7" s="55"/>
      <c r="D7" s="55"/>
      <c r="E7" s="42"/>
      <c r="F7" s="40"/>
    </row>
    <row r="8" spans="1:19" x14ac:dyDescent="0.25">
      <c r="A8" s="36"/>
      <c r="B8" s="43"/>
      <c r="C8" s="42"/>
      <c r="D8" s="42"/>
      <c r="E8" s="42"/>
      <c r="F8" s="40"/>
    </row>
    <row r="9" spans="1:19" x14ac:dyDescent="0.25">
      <c r="A9" s="34" t="s">
        <v>32</v>
      </c>
      <c r="B9" s="42"/>
      <c r="C9" s="42"/>
      <c r="D9" s="42"/>
      <c r="E9" s="42"/>
      <c r="F9" s="40"/>
    </row>
    <row r="10" spans="1:19" x14ac:dyDescent="0.25">
      <c r="A10" s="35" t="s">
        <v>33</v>
      </c>
      <c r="B10" s="42"/>
      <c r="C10" s="42"/>
      <c r="D10" s="53">
        <f>B2</f>
        <v>936902</v>
      </c>
      <c r="E10" s="42"/>
      <c r="F10" s="40"/>
    </row>
    <row r="11" spans="1:19" x14ac:dyDescent="0.25">
      <c r="A11" s="35" t="s">
        <v>34</v>
      </c>
      <c r="B11" s="42"/>
      <c r="C11" s="42"/>
      <c r="D11" s="53">
        <f>B3</f>
        <v>353384</v>
      </c>
      <c r="E11" s="42"/>
      <c r="F11" s="40"/>
    </row>
    <row r="12" spans="1:19" x14ac:dyDescent="0.25">
      <c r="A12" s="35" t="s">
        <v>35</v>
      </c>
      <c r="B12" s="42"/>
      <c r="C12" s="42"/>
      <c r="D12" s="52">
        <f>D10/D11</f>
        <v>2.6512292576913499</v>
      </c>
      <c r="E12" s="42"/>
      <c r="F12" s="40"/>
    </row>
    <row r="13" spans="1:19" x14ac:dyDescent="0.25">
      <c r="A13" s="35"/>
      <c r="B13" s="42"/>
      <c r="C13" s="42"/>
      <c r="D13" s="52"/>
      <c r="E13" s="42"/>
      <c r="F13" s="40"/>
    </row>
    <row r="14" spans="1:19" x14ac:dyDescent="0.25">
      <c r="A14" s="34" t="s">
        <v>36</v>
      </c>
      <c r="B14" s="42"/>
      <c r="C14" s="42"/>
      <c r="D14" s="52"/>
      <c r="E14" s="42"/>
      <c r="F14" s="40"/>
    </row>
    <row r="15" spans="1:19" x14ac:dyDescent="0.25">
      <c r="A15" s="35" t="s">
        <v>37</v>
      </c>
      <c r="B15" s="42"/>
      <c r="C15" s="42"/>
      <c r="D15" s="52">
        <f>N2</f>
        <v>63827493.020015985</v>
      </c>
      <c r="E15" s="42"/>
      <c r="F15" s="40"/>
    </row>
    <row r="16" spans="1:19" x14ac:dyDescent="0.25">
      <c r="A16" s="35" t="s">
        <v>38</v>
      </c>
      <c r="B16" s="42"/>
      <c r="C16" s="42"/>
      <c r="D16" s="52">
        <f>N3</f>
        <v>22835652.789998904</v>
      </c>
      <c r="E16" s="42"/>
      <c r="F16" s="40"/>
    </row>
    <row r="17" spans="1:6" x14ac:dyDescent="0.25">
      <c r="A17" s="35" t="s">
        <v>39</v>
      </c>
      <c r="B17" s="42"/>
      <c r="C17" s="42"/>
      <c r="D17" s="50">
        <f>N3*D12</f>
        <v>60542550.795326196</v>
      </c>
      <c r="E17" s="42"/>
      <c r="F17" s="40"/>
    </row>
    <row r="18" spans="1:6" x14ac:dyDescent="0.25">
      <c r="A18" s="35"/>
      <c r="B18" s="42"/>
      <c r="C18" s="42"/>
      <c r="D18" s="49"/>
      <c r="E18" s="42"/>
      <c r="F18" s="40"/>
    </row>
    <row r="19" spans="1:6" x14ac:dyDescent="0.25">
      <c r="A19" s="34" t="s">
        <v>43</v>
      </c>
      <c r="B19" s="42"/>
      <c r="C19" s="42"/>
      <c r="D19" s="49"/>
      <c r="E19" s="42"/>
      <c r="F19" s="40"/>
    </row>
    <row r="20" spans="1:6" x14ac:dyDescent="0.25">
      <c r="A20" s="35" t="s">
        <v>45</v>
      </c>
      <c r="B20" s="42"/>
      <c r="C20" s="42"/>
      <c r="D20" s="51">
        <f>D2-D3</f>
        <v>5.6785708984427308E-3</v>
      </c>
      <c r="E20" s="42"/>
      <c r="F20" s="40"/>
    </row>
    <row r="21" spans="1:6" x14ac:dyDescent="0.25">
      <c r="A21" s="35" t="s">
        <v>44</v>
      </c>
      <c r="B21" s="42"/>
      <c r="C21" s="42"/>
      <c r="D21" s="52">
        <f>D15-D17</f>
        <v>3284942.2246897891</v>
      </c>
      <c r="E21" s="42"/>
      <c r="F21" s="40"/>
    </row>
    <row r="22" spans="1:6" x14ac:dyDescent="0.25">
      <c r="A22" s="35"/>
      <c r="B22" s="42"/>
      <c r="C22" s="42"/>
      <c r="D22" s="52"/>
      <c r="E22" s="42"/>
      <c r="F22" s="40"/>
    </row>
    <row r="23" spans="1:6" x14ac:dyDescent="0.25">
      <c r="A23" s="34" t="s">
        <v>40</v>
      </c>
      <c r="B23" s="42"/>
      <c r="C23" s="42"/>
      <c r="D23" s="52"/>
      <c r="E23" s="42"/>
      <c r="F23" s="40"/>
    </row>
    <row r="24" spans="1:6" x14ac:dyDescent="0.25">
      <c r="A24" s="35" t="s">
        <v>41</v>
      </c>
      <c r="B24" s="42"/>
      <c r="C24" s="42"/>
      <c r="D24" s="53">
        <f>R2</f>
        <v>1000000</v>
      </c>
      <c r="E24" s="42"/>
      <c r="F24" s="40"/>
    </row>
    <row r="25" spans="1:6" x14ac:dyDescent="0.25">
      <c r="A25" s="35" t="s">
        <v>46</v>
      </c>
      <c r="B25" s="42"/>
      <c r="C25" s="42"/>
      <c r="D25" s="51">
        <f>(D21-D24)/D24</f>
        <v>2.284942224689789</v>
      </c>
      <c r="E25" s="42"/>
      <c r="F25" s="40"/>
    </row>
    <row r="26" spans="1:6" x14ac:dyDescent="0.25">
      <c r="A26" s="35"/>
      <c r="B26" s="42"/>
      <c r="C26" s="42"/>
      <c r="D26" s="42"/>
      <c r="E26" s="42"/>
      <c r="F26" s="40"/>
    </row>
    <row r="27" spans="1:6" x14ac:dyDescent="0.25">
      <c r="A27" s="48" t="s">
        <v>42</v>
      </c>
      <c r="B27" s="33" t="s">
        <v>48</v>
      </c>
      <c r="C27" s="42"/>
      <c r="D27" s="42"/>
      <c r="E27" s="42"/>
      <c r="F27" s="40"/>
    </row>
    <row r="28" spans="1:6" x14ac:dyDescent="0.25">
      <c r="A28" s="33"/>
      <c r="B28" s="33"/>
      <c r="C28" s="33"/>
      <c r="D28" s="33"/>
      <c r="E28" s="33"/>
      <c r="F28" s="33"/>
    </row>
  </sheetData>
  <mergeCells count="1">
    <mergeCell ref="A7:D7"/>
  </mergeCells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Теория</vt:lpstr>
      <vt:lpstr>Расчет по неравнозначным A_B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2026-06-14T08:59:06Z</dcterms:modified>
</cp:coreProperties>
</file>